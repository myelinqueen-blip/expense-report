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noi\Downloads\Telegram Desktop\"/>
    </mc:Choice>
  </mc:AlternateContent>
  <xr:revisionPtr revIDLastSave="0" documentId="13_ncr:1_{E15C4EF0-B600-4E94-8930-40884C479254}" xr6:coauthVersionLast="47" xr6:coauthVersionMax="47" xr10:uidLastSave="{00000000-0000-0000-0000-000000000000}"/>
  <bookViews>
    <workbookView xWindow="-90" yWindow="0" windowWidth="12980" windowHeight="15370" xr2:uid="{E9A35208-4106-442B-BE57-F7E1FCA0B1F3}"/>
  </bookViews>
  <sheets>
    <sheet name="지출결의서" sheetId="3" r:id="rId1"/>
    <sheet name="영수증" sheetId="1" r:id="rId2"/>
  </sheets>
  <externalReferences>
    <externalReference r:id="rId3"/>
  </externalReferences>
  <definedNames>
    <definedName name="항목">[1]항목!$A$2:$A$15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8" i="3" l="1"/>
  <c r="F7" i="3" s="1"/>
  <c r="C7" i="3" s="1"/>
</calcChain>
</file>

<file path=xl/sharedStrings.xml><?xml version="1.0" encoding="utf-8"?>
<sst xmlns="http://schemas.openxmlformats.org/spreadsheetml/2006/main" count="66" uniqueCount="52">
  <si>
    <t>⑦</t>
  </si>
  <si>
    <t>⑥</t>
  </si>
  <si>
    <t>⑤</t>
  </si>
  <si>
    <t>④</t>
  </si>
  <si>
    <t>③</t>
  </si>
  <si>
    <t>②</t>
  </si>
  <si>
    <t>①</t>
  </si>
  <si>
    <t>지출결의서
(등록카드)</t>
  </si>
  <si>
    <t>결재</t>
  </si>
  <si>
    <t>기안자</t>
  </si>
  <si>
    <t>팀장</t>
  </si>
  <si>
    <t>부장</t>
  </si>
  <si>
    <t>이사</t>
  </si>
  <si>
    <t>대표이사</t>
  </si>
  <si>
    <t>작성일자</t>
  </si>
  <si>
    <t>2026년</t>
  </si>
  <si>
    <t>6월</t>
  </si>
  <si>
    <t>4일</t>
    <phoneticPr fontId="3" type="noConversion"/>
  </si>
  <si>
    <t>오선민</t>
  </si>
  <si>
    <t>지급요청일</t>
  </si>
  <si>
    <t>신청인</t>
  </si>
  <si>
    <t>집행일</t>
  </si>
  <si>
    <t>부서명</t>
  </si>
  <si>
    <t>IMC사업본부</t>
  </si>
  <si>
    <t>합계</t>
  </si>
  <si>
    <t>날짜</t>
  </si>
  <si>
    <t>항목</t>
  </si>
  <si>
    <t>내용</t>
  </si>
  <si>
    <t>금액</t>
  </si>
  <si>
    <t>비고</t>
  </si>
  <si>
    <t>영수증 번호</t>
  </si>
  <si>
    <t>5/23</t>
    <phoneticPr fontId="3" type="noConversion"/>
  </si>
  <si>
    <t>소계</t>
  </si>
  <si>
    <t>첨부/증빙서류</t>
  </si>
  <si>
    <t>* 유첨</t>
  </si>
  <si>
    <t>* 비고
- 매월 1일부터 말일까지 내용 정산
- 택시 이용 시, 발생일과 출발지-목적지 명기 (비고에 실제 야근일 기입)
- 야근 후 택시 이용 시 '야근귀가', 미팅 참석 택시 이용 시 '외근' 명기
  (예 : 야근귀가 / 사유 / 출발지-목적지)</t>
  </si>
  <si>
    <t>경영지원팀</t>
  </si>
  <si>
    <t>담당</t>
  </si>
  <si>
    <t>5/27</t>
    <phoneticPr fontId="3" type="noConversion"/>
  </si>
  <si>
    <t>5/22</t>
    <phoneticPr fontId="3" type="noConversion"/>
  </si>
  <si>
    <t>5/28</t>
    <phoneticPr fontId="3" type="noConversion"/>
  </si>
  <si>
    <t>식대</t>
  </si>
  <si>
    <t>HL 투게더HL 풋살클래스 편 음료</t>
    <phoneticPr fontId="3" type="noConversion"/>
  </si>
  <si>
    <t>HL 투게더HL 풋살클래스 편 도시락</t>
    <phoneticPr fontId="3" type="noConversion"/>
  </si>
  <si>
    <t>HL 투게더HL 풋살클래스 편 명찰</t>
    <phoneticPr fontId="3" type="noConversion"/>
  </si>
  <si>
    <t>브랜드채널 1팀 문화비&amp;팀비(5인)</t>
    <phoneticPr fontId="3" type="noConversion"/>
  </si>
  <si>
    <t>야근 식대 : HL패밀리데이 행사 뒷정리, 교보 꿈체 콘텐츠 수정</t>
    <phoneticPr fontId="3" type="noConversion"/>
  </si>
  <si>
    <t>야근 교통비 : HL패밀리데이 행사 뒷정리, 교보 꿈체 콘텐츠 수정</t>
    <phoneticPr fontId="3" type="noConversion"/>
  </si>
  <si>
    <t>야근 식대 : HL패밀리데이 행사</t>
    <phoneticPr fontId="3" type="noConversion"/>
  </si>
  <si>
    <t>여비교통비</t>
  </si>
  <si>
    <t>기타</t>
  </si>
  <si>
    <t>문화지원비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</si>
</sst>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₩#,##0"/>
    <numFmt numFmtId="177" formatCode="#,##0_ "/>
  </numFmts>
  <fonts count="11" x14ac:knownFonts="1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6" xfId="0" applyBorder="1"/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right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77" fontId="2" fillId="0" borderId="10" xfId="0" applyNumberFormat="1" applyFont="1" applyBorder="1" applyAlignment="1">
      <alignment horizontal="right" vertical="center"/>
    </xf>
    <xf numFmtId="49" fontId="5" fillId="0" borderId="17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right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3" fontId="6" fillId="0" borderId="24" xfId="0" applyNumberFormat="1" applyFont="1" applyBorder="1" applyAlignment="1">
      <alignment horizontal="right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177" fontId="0" fillId="0" borderId="0" xfId="0" applyNumberFormat="1"/>
    <xf numFmtId="0" fontId="0" fillId="0" borderId="0" xfId="0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0" fontId="10" fillId="0" borderId="10" xfId="0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2" fillId="0" borderId="30" xfId="0" applyFont="1" applyBorder="1" applyAlignment="1">
      <alignment horizontal="center" vertical="center"/>
    </xf>
    <xf numFmtId="0" fontId="0" fillId="0" borderId="31" xfId="0" applyBorder="1"/>
    <xf numFmtId="0" fontId="0" fillId="0" borderId="23" xfId="0" applyBorder="1"/>
    <xf numFmtId="0" fontId="2" fillId="0" borderId="26" xfId="0" applyFont="1" applyBorder="1" applyAlignment="1">
      <alignment horizontal="center" vertical="center"/>
    </xf>
    <xf numFmtId="0" fontId="0" fillId="0" borderId="33" xfId="0" applyBorder="1"/>
    <xf numFmtId="0" fontId="2" fillId="0" borderId="34" xfId="0" applyFont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2" fillId="0" borderId="13" xfId="0" applyFont="1" applyBorder="1" applyAlignment="1">
      <alignment horizontal="left" vertical="center" wrapText="1" indent="1"/>
    </xf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0" xfId="0"/>
    <xf numFmtId="0" fontId="0" fillId="0" borderId="8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6" xfId="0" applyBorder="1" applyAlignment="1">
      <alignment horizontal="center" vertical="center"/>
    </xf>
    <xf numFmtId="0" fontId="0" fillId="0" borderId="14" xfId="0" applyBorder="1"/>
    <xf numFmtId="0" fontId="0" fillId="0" borderId="35" xfId="0" applyBorder="1"/>
    <xf numFmtId="0" fontId="0" fillId="0" borderId="10" xfId="0" applyBorder="1" applyAlignment="1">
      <alignment horizontal="center" vertical="center"/>
    </xf>
    <xf numFmtId="0" fontId="0" fillId="0" borderId="9" xfId="0" applyBorder="1"/>
    <xf numFmtId="0" fontId="9" fillId="0" borderId="10" xfId="0" applyFont="1" applyBorder="1" applyAlignment="1">
      <alignment horizontal="left" vertical="center"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9" fillId="0" borderId="10" xfId="0" applyFont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5" xfId="0" applyBorder="1"/>
    <xf numFmtId="0" fontId="7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22" xfId="0" applyBorder="1"/>
    <xf numFmtId="0" fontId="0" fillId="0" borderId="25" xfId="0" applyBorder="1"/>
    <xf numFmtId="0" fontId="8" fillId="0" borderId="27" xfId="0" applyFont="1" applyBorder="1" applyAlignment="1">
      <alignment horizontal="right" vertical="center"/>
    </xf>
    <xf numFmtId="176" fontId="8" fillId="0" borderId="29" xfId="0" applyNumberFormat="1" applyFont="1" applyBorder="1" applyAlignment="1">
      <alignment horizontal="left" vertical="center" indent="2"/>
    </xf>
    <xf numFmtId="49" fontId="1" fillId="0" borderId="17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57207</xdr:colOff>
      <xdr:row>32</xdr:row>
      <xdr:rowOff>80091</xdr:rowOff>
    </xdr:from>
    <xdr:to>
      <xdr:col>6</xdr:col>
      <xdr:colOff>22883</xdr:colOff>
      <xdr:row>32</xdr:row>
      <xdr:rowOff>1052614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0C22198-B8D3-4DAA-9263-2ED1FD68A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507" y="10646491"/>
          <a:ext cx="899126" cy="9725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344913</xdr:colOff>
      <xdr:row>1</xdr:row>
      <xdr:rowOff>187378</xdr:rowOff>
    </xdr:from>
    <xdr:ext cx="1684421" cy="3027947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519D611-7935-44BC-ADA0-FCFB7E88528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59135" y="413156"/>
          <a:ext cx="1684421" cy="3027947"/>
        </a:xfrm>
        <a:prstGeom prst="rect">
          <a:avLst/>
        </a:prstGeom>
      </xdr:spPr>
    </xdr:pic>
    <xdr:clientData/>
  </xdr:oneCellAnchor>
  <xdr:oneCellAnchor>
    <xdr:from>
      <xdr:col>0</xdr:col>
      <xdr:colOff>189691</xdr:colOff>
      <xdr:row>1</xdr:row>
      <xdr:rowOff>187378</xdr:rowOff>
    </xdr:from>
    <xdr:ext cx="1905000" cy="301942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5AAF75AA-9C04-427E-84E4-BF8EA3E29529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9691" y="413156"/>
          <a:ext cx="1905000" cy="3019425"/>
        </a:xfrm>
        <a:prstGeom prst="rect">
          <a:avLst/>
        </a:prstGeom>
      </xdr:spPr>
    </xdr:pic>
    <xdr:clientData/>
  </xdr:oneCellAnchor>
  <xdr:oneCellAnchor>
    <xdr:from>
      <xdr:col>2</xdr:col>
      <xdr:colOff>260246</xdr:colOff>
      <xdr:row>1</xdr:row>
      <xdr:rowOff>187378</xdr:rowOff>
    </xdr:from>
    <xdr:ext cx="1905000" cy="3048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403F614-BE26-4FBB-A767-E1E8070B8203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882213" y="416394"/>
          <a:ext cx="1905000" cy="3048000"/>
        </a:xfrm>
        <a:prstGeom prst="rect">
          <a:avLst/>
        </a:prstGeom>
      </xdr:spPr>
    </xdr:pic>
    <xdr:clientData/>
  </xdr:oneCellAnchor>
  <xdr:oneCellAnchor>
    <xdr:from>
      <xdr:col>0</xdr:col>
      <xdr:colOff>260246</xdr:colOff>
      <xdr:row>3</xdr:row>
      <xdr:rowOff>31229</xdr:rowOff>
    </xdr:from>
    <xdr:ext cx="1905000" cy="336232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9E40B062-C8EE-4133-94A6-BD218EDF2F3C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0246" y="4018196"/>
          <a:ext cx="1905000" cy="3362325"/>
        </a:xfrm>
        <a:prstGeom prst="rect">
          <a:avLst/>
        </a:prstGeom>
      </xdr:spPr>
    </xdr:pic>
    <xdr:clientData/>
  </xdr:oneCellAnchor>
  <xdr:twoCellAnchor editAs="oneCell">
    <xdr:from>
      <xdr:col>1</xdr:col>
      <xdr:colOff>295524</xdr:colOff>
      <xdr:row>3</xdr:row>
      <xdr:rowOff>31229</xdr:rowOff>
    </xdr:from>
    <xdr:to>
      <xdr:col>1</xdr:col>
      <xdr:colOff>1991461</xdr:colOff>
      <xdr:row>4</xdr:row>
      <xdr:rowOff>102294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89654F78-8215-4C5D-3A87-E46830E20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09746" y="4010562"/>
          <a:ext cx="1695937" cy="3598843"/>
        </a:xfrm>
        <a:prstGeom prst="rect">
          <a:avLst/>
        </a:prstGeom>
      </xdr:spPr>
    </xdr:pic>
    <xdr:clientData/>
  </xdr:twoCellAnchor>
  <xdr:twoCellAnchor editAs="oneCell">
    <xdr:from>
      <xdr:col>2</xdr:col>
      <xdr:colOff>282053</xdr:colOff>
      <xdr:row>3</xdr:row>
      <xdr:rowOff>116474</xdr:rowOff>
    </xdr:from>
    <xdr:to>
      <xdr:col>2</xdr:col>
      <xdr:colOff>1865490</xdr:colOff>
      <xdr:row>3</xdr:row>
      <xdr:rowOff>2244354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75C51015-874E-0B75-7C73-BB06B69354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40399"/>
        <a:stretch>
          <a:fillRect/>
        </a:stretch>
      </xdr:blipFill>
      <xdr:spPr>
        <a:xfrm>
          <a:off x="4900235" y="4111201"/>
          <a:ext cx="1583437" cy="2127880"/>
        </a:xfrm>
        <a:prstGeom prst="rect">
          <a:avLst/>
        </a:prstGeom>
      </xdr:spPr>
    </xdr:pic>
    <xdr:clientData/>
  </xdr:twoCellAnchor>
  <xdr:twoCellAnchor editAs="oneCell">
    <xdr:from>
      <xdr:col>0</xdr:col>
      <xdr:colOff>416277</xdr:colOff>
      <xdr:row>5</xdr:row>
      <xdr:rowOff>77429</xdr:rowOff>
    </xdr:from>
    <xdr:to>
      <xdr:col>0</xdr:col>
      <xdr:colOff>1997960</xdr:colOff>
      <xdr:row>5</xdr:row>
      <xdr:rowOff>2176601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96BF5D3D-876B-90F6-C285-416B9F16DF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41142"/>
        <a:stretch>
          <a:fillRect/>
        </a:stretch>
      </xdr:blipFill>
      <xdr:spPr>
        <a:xfrm>
          <a:off x="416277" y="7835974"/>
          <a:ext cx="1581683" cy="20991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75\i4u_Office\Volumes\KimTeam%20HD\Dropbox\i4unetworks\0.Document\&#4364;&#4469;&#4366;&#4462;&#4527;&#4352;&#4455;&#4527;&#4363;&#4468;&#4361;&#4453;\&#4364;&#4469;&#4366;&#4462;&#4527;&#4352;&#4455;&#4527;&#4363;&#4468;&#4361;&#4453;_&#4352;&#4469;&#4535;&#4364;&#4457;&#4540;&#4352;&#4469;_2016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항목"/>
      <sheetName val="지출결의서"/>
      <sheetName val="Sheet1"/>
    </sheetNames>
    <sheetDataSet>
      <sheetData sheetId="0">
        <row r="2">
          <cell r="A2" t="str">
            <v>식대</v>
          </cell>
        </row>
        <row r="3">
          <cell r="A3" t="str">
            <v>여비교통비</v>
          </cell>
        </row>
        <row r="4">
          <cell r="A4" t="str">
            <v>차량유지비</v>
          </cell>
        </row>
        <row r="5">
          <cell r="A5" t="str">
            <v>통신비</v>
          </cell>
        </row>
        <row r="6">
          <cell r="A6" t="str">
            <v>접대비</v>
          </cell>
        </row>
        <row r="7">
          <cell r="A7" t="str">
            <v>발송비</v>
          </cell>
        </row>
        <row r="8">
          <cell r="A8" t="str">
            <v>비품</v>
          </cell>
        </row>
        <row r="9">
          <cell r="A9" t="str">
            <v>문화지원비</v>
          </cell>
        </row>
        <row r="10">
          <cell r="A10" t="str">
            <v>기타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05C8-A2CE-47B3-AAFB-88EC15EA9703}">
  <sheetPr>
    <pageSetUpPr fitToPage="1"/>
  </sheetPr>
  <dimension ref="B1:L33"/>
  <sheetViews>
    <sheetView tabSelected="1" zoomScale="77" zoomScaleNormal="111" zoomScalePageLayoutView="111" workbookViewId="0">
      <selection activeCell="D18" sqref="D18:G18"/>
    </sheetView>
  </sheetViews>
  <sheetFormatPr defaultColWidth="11.53515625" defaultRowHeight="17.5" x14ac:dyDescent="0.45"/>
  <cols>
    <col min="1" max="1" width="1.69140625" customWidth="1"/>
    <col min="2" max="5" width="11.07421875" customWidth="1"/>
    <col min="6" max="10" width="11.3046875" customWidth="1"/>
    <col min="11" max="11" width="2.53515625" customWidth="1"/>
  </cols>
  <sheetData>
    <row r="1" spans="2:10" ht="10" customHeight="1" x14ac:dyDescent="0.45"/>
    <row r="2" spans="2:10" ht="23.15" customHeight="1" x14ac:dyDescent="0.45">
      <c r="B2" s="78" t="s">
        <v>7</v>
      </c>
      <c r="C2" s="59"/>
      <c r="D2" s="60"/>
      <c r="E2" s="79" t="s">
        <v>8</v>
      </c>
      <c r="F2" s="2" t="s">
        <v>9</v>
      </c>
      <c r="G2" s="2" t="s">
        <v>10</v>
      </c>
      <c r="H2" s="2" t="s">
        <v>11</v>
      </c>
      <c r="I2" s="3" t="s">
        <v>12</v>
      </c>
      <c r="J2" s="4" t="s">
        <v>13</v>
      </c>
    </row>
    <row r="3" spans="2:10" ht="73" customHeight="1" x14ac:dyDescent="0.45">
      <c r="B3" s="61"/>
      <c r="C3" s="62"/>
      <c r="D3" s="63"/>
      <c r="E3" s="71"/>
      <c r="F3" s="5"/>
      <c r="G3" s="5"/>
      <c r="H3" s="5"/>
      <c r="I3" s="6"/>
      <c r="J3" s="7"/>
    </row>
    <row r="4" spans="2:10" ht="24" customHeight="1" x14ac:dyDescent="0.45">
      <c r="B4" s="8" t="s">
        <v>14</v>
      </c>
      <c r="C4" s="9" t="s">
        <v>15</v>
      </c>
      <c r="D4" s="10" t="s">
        <v>16</v>
      </c>
      <c r="E4" s="11" t="s">
        <v>17</v>
      </c>
      <c r="F4" s="12" t="s">
        <v>9</v>
      </c>
      <c r="G4" s="80" t="s">
        <v>18</v>
      </c>
      <c r="H4" s="68"/>
      <c r="I4" s="77"/>
      <c r="J4" s="13"/>
    </row>
    <row r="5" spans="2:10" ht="24" customHeight="1" x14ac:dyDescent="0.45">
      <c r="B5" s="14" t="s">
        <v>19</v>
      </c>
      <c r="C5" s="15" t="s">
        <v>15</v>
      </c>
      <c r="D5" s="16" t="s">
        <v>16</v>
      </c>
      <c r="E5" s="17" t="s">
        <v>17</v>
      </c>
      <c r="F5" s="18" t="s">
        <v>20</v>
      </c>
      <c r="G5" s="81" t="s">
        <v>18</v>
      </c>
      <c r="H5" s="48"/>
      <c r="I5" s="49"/>
      <c r="J5" s="13"/>
    </row>
    <row r="6" spans="2:10" ht="24" customHeight="1" x14ac:dyDescent="0.45">
      <c r="B6" s="19" t="s">
        <v>21</v>
      </c>
      <c r="C6" s="20" t="s">
        <v>15</v>
      </c>
      <c r="D6" s="21"/>
      <c r="E6" s="22"/>
      <c r="F6" s="23" t="s">
        <v>22</v>
      </c>
      <c r="G6" s="82" t="s">
        <v>23</v>
      </c>
      <c r="H6" s="83"/>
      <c r="I6" s="84"/>
      <c r="J6" s="13"/>
    </row>
    <row r="7" spans="2:10" ht="24" customHeight="1" x14ac:dyDescent="0.45">
      <c r="B7" s="24" t="s">
        <v>24</v>
      </c>
      <c r="C7" s="85" t="str">
        <f>"일금 "&amp;NUMBERSTRING(F7,1)&amp;" 원정"</f>
        <v>일금 사십삼만오천사백 원정</v>
      </c>
      <c r="D7" s="56"/>
      <c r="E7" s="56"/>
      <c r="F7" s="86">
        <f>H28</f>
        <v>435400</v>
      </c>
      <c r="G7" s="56"/>
      <c r="H7" s="56"/>
      <c r="I7" s="56"/>
      <c r="J7" s="57"/>
    </row>
    <row r="8" spans="2:10" ht="19" customHeight="1" x14ac:dyDescent="0.45">
      <c r="B8" s="25" t="s">
        <v>25</v>
      </c>
      <c r="C8" s="26" t="s">
        <v>26</v>
      </c>
      <c r="D8" s="76" t="s">
        <v>27</v>
      </c>
      <c r="E8" s="68"/>
      <c r="F8" s="68"/>
      <c r="G8" s="77"/>
      <c r="H8" s="26" t="s">
        <v>28</v>
      </c>
      <c r="I8" s="27" t="s">
        <v>29</v>
      </c>
      <c r="J8" s="28" t="s">
        <v>30</v>
      </c>
    </row>
    <row r="9" spans="2:10" x14ac:dyDescent="0.45">
      <c r="B9" s="87" t="s">
        <v>31</v>
      </c>
      <c r="C9" s="18" t="s">
        <v>41</v>
      </c>
      <c r="D9" s="72" t="s">
        <v>48</v>
      </c>
      <c r="E9" s="73"/>
      <c r="F9" s="73"/>
      <c r="G9" s="74"/>
      <c r="H9" s="30">
        <v>17900</v>
      </c>
      <c r="I9" s="31"/>
      <c r="J9" s="32">
        <v>1</v>
      </c>
    </row>
    <row r="10" spans="2:10" ht="20.149999999999999" customHeight="1" x14ac:dyDescent="0.45">
      <c r="B10" s="87" t="s">
        <v>31</v>
      </c>
      <c r="C10" s="18" t="s">
        <v>49</v>
      </c>
      <c r="D10" s="72" t="s">
        <v>47</v>
      </c>
      <c r="E10" s="73"/>
      <c r="F10" s="73"/>
      <c r="G10" s="74"/>
      <c r="H10" s="30">
        <v>18600</v>
      </c>
      <c r="I10" s="31"/>
      <c r="J10" s="32">
        <v>2</v>
      </c>
    </row>
    <row r="11" spans="2:10" ht="20.149999999999999" customHeight="1" x14ac:dyDescent="0.45">
      <c r="B11" s="87" t="s">
        <v>31</v>
      </c>
      <c r="C11" s="18" t="s">
        <v>41</v>
      </c>
      <c r="D11" s="72" t="s">
        <v>46</v>
      </c>
      <c r="E11" s="73"/>
      <c r="F11" s="73"/>
      <c r="G11" s="74"/>
      <c r="H11" s="30">
        <v>21400</v>
      </c>
      <c r="I11" s="15"/>
      <c r="J11" s="32">
        <v>3</v>
      </c>
    </row>
    <row r="12" spans="2:10" x14ac:dyDescent="0.45">
      <c r="B12" s="87" t="s">
        <v>39</v>
      </c>
      <c r="C12" s="18" t="s">
        <v>51</v>
      </c>
      <c r="D12" s="72" t="s">
        <v>45</v>
      </c>
      <c r="E12" s="73"/>
      <c r="F12" s="73"/>
      <c r="G12" s="74"/>
      <c r="H12" s="30">
        <v>100000</v>
      </c>
      <c r="I12" s="31"/>
      <c r="J12" s="32">
        <v>4</v>
      </c>
    </row>
    <row r="13" spans="2:10" ht="20.149999999999999" customHeight="1" x14ac:dyDescent="0.45">
      <c r="B13" s="87" t="s">
        <v>38</v>
      </c>
      <c r="C13" s="18" t="s">
        <v>50</v>
      </c>
      <c r="D13" s="72" t="s">
        <v>44</v>
      </c>
      <c r="E13" s="73"/>
      <c r="F13" s="73"/>
      <c r="G13" s="74"/>
      <c r="H13" s="30">
        <v>11500</v>
      </c>
      <c r="I13" s="31"/>
      <c r="J13" s="32">
        <v>5</v>
      </c>
    </row>
    <row r="14" spans="2:10" ht="20.149999999999999" customHeight="1" x14ac:dyDescent="0.45">
      <c r="B14" s="87" t="s">
        <v>40</v>
      </c>
      <c r="C14" s="18" t="s">
        <v>41</v>
      </c>
      <c r="D14" s="72" t="s">
        <v>43</v>
      </c>
      <c r="E14" s="73"/>
      <c r="F14" s="73"/>
      <c r="G14" s="74"/>
      <c r="H14" s="30">
        <v>240000</v>
      </c>
      <c r="I14" s="31"/>
      <c r="J14" s="32">
        <v>6</v>
      </c>
    </row>
    <row r="15" spans="2:10" ht="20.149999999999999" customHeight="1" x14ac:dyDescent="0.45">
      <c r="B15" s="87" t="s">
        <v>40</v>
      </c>
      <c r="C15" s="18" t="s">
        <v>41</v>
      </c>
      <c r="D15" s="72" t="s">
        <v>42</v>
      </c>
      <c r="E15" s="73"/>
      <c r="F15" s="73"/>
      <c r="G15" s="74"/>
      <c r="H15" s="30">
        <v>26000</v>
      </c>
      <c r="I15" s="15"/>
      <c r="J15" s="32">
        <v>7</v>
      </c>
    </row>
    <row r="16" spans="2:10" ht="20.149999999999999" customHeight="1" x14ac:dyDescent="0.45">
      <c r="B16" s="29"/>
      <c r="C16" s="18"/>
      <c r="D16" s="72"/>
      <c r="E16" s="73"/>
      <c r="F16" s="73"/>
      <c r="G16" s="74"/>
      <c r="H16" s="30"/>
      <c r="I16" s="15"/>
      <c r="J16" s="32"/>
    </row>
    <row r="17" spans="2:12" ht="20.149999999999999" customHeight="1" x14ac:dyDescent="0.45">
      <c r="B17" s="29"/>
      <c r="C17" s="18"/>
      <c r="D17" s="72"/>
      <c r="E17" s="73"/>
      <c r="F17" s="73"/>
      <c r="G17" s="74"/>
      <c r="H17" s="30"/>
      <c r="I17" s="15"/>
      <c r="J17" s="32"/>
    </row>
    <row r="18" spans="2:12" ht="20.149999999999999" customHeight="1" x14ac:dyDescent="0.45">
      <c r="B18" s="29"/>
      <c r="C18" s="18"/>
      <c r="D18" s="72"/>
      <c r="E18" s="73"/>
      <c r="F18" s="73"/>
      <c r="G18" s="74"/>
      <c r="H18" s="30"/>
      <c r="I18" s="15"/>
      <c r="J18" s="32"/>
    </row>
    <row r="19" spans="2:12" ht="20.149999999999999" customHeight="1" x14ac:dyDescent="0.45">
      <c r="B19" s="29"/>
      <c r="C19" s="18"/>
      <c r="D19" s="72"/>
      <c r="E19" s="73"/>
      <c r="F19" s="73"/>
      <c r="G19" s="74"/>
      <c r="H19" s="30"/>
      <c r="I19" s="31"/>
      <c r="J19" s="32"/>
    </row>
    <row r="20" spans="2:12" ht="20.149999999999999" customHeight="1" x14ac:dyDescent="0.45">
      <c r="B20" s="29"/>
      <c r="C20" s="18"/>
      <c r="D20" s="72"/>
      <c r="E20" s="73"/>
      <c r="F20" s="73"/>
      <c r="G20" s="74"/>
      <c r="H20" s="30"/>
      <c r="I20" s="31"/>
      <c r="J20" s="32"/>
    </row>
    <row r="21" spans="2:12" ht="20.149999999999999" customHeight="1" x14ac:dyDescent="0.45">
      <c r="B21" s="29"/>
      <c r="C21" s="18"/>
      <c r="D21" s="72"/>
      <c r="E21" s="73"/>
      <c r="F21" s="73"/>
      <c r="G21" s="74"/>
      <c r="H21" s="30"/>
      <c r="I21" s="15"/>
      <c r="J21" s="32"/>
    </row>
    <row r="22" spans="2:12" ht="20.149999999999999" customHeight="1" x14ac:dyDescent="0.45">
      <c r="B22" s="29"/>
      <c r="C22" s="18"/>
      <c r="D22" s="72"/>
      <c r="E22" s="73"/>
      <c r="F22" s="73"/>
      <c r="G22" s="74"/>
      <c r="H22" s="30"/>
      <c r="I22" s="15"/>
      <c r="J22" s="32"/>
    </row>
    <row r="23" spans="2:12" ht="20.149999999999999" customHeight="1" x14ac:dyDescent="0.45">
      <c r="B23" s="29"/>
      <c r="C23" s="18"/>
      <c r="D23" s="75"/>
      <c r="E23" s="48"/>
      <c r="F23" s="48"/>
      <c r="G23" s="49"/>
      <c r="H23" s="33"/>
      <c r="I23" s="15"/>
      <c r="J23" s="32"/>
    </row>
    <row r="24" spans="2:12" ht="20.149999999999999" customHeight="1" x14ac:dyDescent="0.45">
      <c r="B24" s="29"/>
      <c r="C24" s="18"/>
      <c r="D24" s="75"/>
      <c r="E24" s="48"/>
      <c r="F24" s="48"/>
      <c r="G24" s="49"/>
      <c r="H24" s="33"/>
      <c r="I24" s="15"/>
      <c r="J24" s="32"/>
    </row>
    <row r="25" spans="2:12" ht="20.149999999999999" customHeight="1" x14ac:dyDescent="0.45">
      <c r="B25" s="29"/>
      <c r="C25" s="18"/>
      <c r="D25" s="75"/>
      <c r="E25" s="48"/>
      <c r="F25" s="48"/>
      <c r="G25" s="49"/>
      <c r="H25" s="33"/>
      <c r="I25" s="15"/>
      <c r="J25" s="32"/>
    </row>
    <row r="26" spans="2:12" ht="20.149999999999999" customHeight="1" x14ac:dyDescent="0.45">
      <c r="B26" s="34"/>
      <c r="C26" s="35"/>
      <c r="D26" s="47"/>
      <c r="E26" s="48"/>
      <c r="F26" s="48"/>
      <c r="G26" s="49"/>
      <c r="H26" s="36"/>
      <c r="I26" s="37"/>
      <c r="J26" s="38"/>
    </row>
    <row r="27" spans="2:12" ht="20.149999999999999" customHeight="1" x14ac:dyDescent="0.45">
      <c r="B27" s="34"/>
      <c r="C27" s="35"/>
      <c r="D27" s="47"/>
      <c r="E27" s="48"/>
      <c r="F27" s="48"/>
      <c r="G27" s="49"/>
      <c r="H27" s="36"/>
      <c r="I27" s="37"/>
      <c r="J27" s="38"/>
    </row>
    <row r="28" spans="2:12" ht="20.149999999999999" customHeight="1" x14ac:dyDescent="0.45">
      <c r="B28" s="50" t="s">
        <v>32</v>
      </c>
      <c r="C28" s="51"/>
      <c r="D28" s="51"/>
      <c r="E28" s="51"/>
      <c r="F28" s="51"/>
      <c r="G28" s="52"/>
      <c r="H28" s="39">
        <f>SUM(H9:H27)</f>
        <v>435400</v>
      </c>
      <c r="I28" s="40"/>
      <c r="J28" s="41"/>
      <c r="L28" s="42"/>
    </row>
    <row r="29" spans="2:12" ht="25" customHeight="1" x14ac:dyDescent="0.45">
      <c r="B29" s="53" t="s">
        <v>33</v>
      </c>
      <c r="C29" s="54"/>
      <c r="D29" s="55" t="s">
        <v>34</v>
      </c>
      <c r="E29" s="56"/>
      <c r="F29" s="56"/>
      <c r="G29" s="56"/>
      <c r="H29" s="56"/>
      <c r="I29" s="56"/>
      <c r="J29" s="57"/>
    </row>
    <row r="30" spans="2:12" ht="23.15" customHeight="1" x14ac:dyDescent="0.45">
      <c r="B30" s="58" t="s">
        <v>35</v>
      </c>
      <c r="C30" s="59"/>
      <c r="D30" s="59"/>
      <c r="E30" s="59"/>
      <c r="F30" s="59"/>
      <c r="G30" s="60"/>
      <c r="H30" s="67" t="s">
        <v>36</v>
      </c>
      <c r="I30" s="68"/>
      <c r="J30" s="69"/>
    </row>
    <row r="31" spans="2:12" ht="23.15" customHeight="1" x14ac:dyDescent="0.45">
      <c r="B31" s="61"/>
      <c r="C31" s="62"/>
      <c r="D31" s="62"/>
      <c r="E31" s="62"/>
      <c r="F31" s="62"/>
      <c r="G31" s="63"/>
      <c r="H31" s="70" t="s">
        <v>8</v>
      </c>
      <c r="I31" s="6" t="s">
        <v>37</v>
      </c>
      <c r="J31" s="7" t="s">
        <v>10</v>
      </c>
    </row>
    <row r="32" spans="2:12" ht="70" customHeight="1" x14ac:dyDescent="0.45">
      <c r="B32" s="64"/>
      <c r="C32" s="65"/>
      <c r="D32" s="65"/>
      <c r="E32" s="65"/>
      <c r="F32" s="65"/>
      <c r="G32" s="66"/>
      <c r="H32" s="71"/>
      <c r="I32" s="6"/>
      <c r="J32" s="7"/>
    </row>
    <row r="33" spans="2:10" ht="86.15" customHeight="1" x14ac:dyDescent="0.45">
      <c r="B33" s="44"/>
      <c r="C33" s="45"/>
      <c r="D33" s="45"/>
      <c r="E33" s="45"/>
      <c r="F33" s="45"/>
      <c r="G33" s="45"/>
      <c r="H33" s="45"/>
      <c r="I33" s="45"/>
      <c r="J33" s="46"/>
    </row>
  </sheetData>
  <mergeCells count="34">
    <mergeCell ref="D13:G13"/>
    <mergeCell ref="B2:D3"/>
    <mergeCell ref="E2:E3"/>
    <mergeCell ref="G4:I4"/>
    <mergeCell ref="G5:I5"/>
    <mergeCell ref="G6:I6"/>
    <mergeCell ref="C7:E7"/>
    <mergeCell ref="F7:J7"/>
    <mergeCell ref="D8:G8"/>
    <mergeCell ref="D9:G9"/>
    <mergeCell ref="D10:G10"/>
    <mergeCell ref="D11:G11"/>
    <mergeCell ref="D12:G12"/>
    <mergeCell ref="D25:G25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B33:J33"/>
    <mergeCell ref="D26:G26"/>
    <mergeCell ref="D27:G27"/>
    <mergeCell ref="B28:G28"/>
    <mergeCell ref="B29:C29"/>
    <mergeCell ref="D29:J29"/>
    <mergeCell ref="B30:G32"/>
    <mergeCell ref="H30:J30"/>
    <mergeCell ref="H31:H32"/>
  </mergeCells>
  <phoneticPr fontId="3" type="noConversion"/>
  <dataValidations count="1">
    <dataValidation type="list" allowBlank="1" showInputMessage="1" showErrorMessage="1" sqref="C9:C27" xr:uid="{B722BCF5-151F-4B8B-8B8B-E0BCBF860CC0}">
      <formula1>"식대,여비교통비,문화지원비,차량유지비,접대비,기타"</formula1>
    </dataValidation>
  </dataValidations>
  <pageMargins left="0.25" right="0.25" top="0.75" bottom="0.75" header="0.3" footer="0.3"/>
  <pageSetup paperSize="9" scale="82" fitToHeight="2" orientation="portrait"/>
  <colBreaks count="1" manualBreakCount="1">
    <brk id="10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8972-CC34-40BD-958E-271D53D4F4DB}">
  <sheetPr>
    <pageSetUpPr fitToPage="1"/>
  </sheetPr>
  <dimension ref="A1:C11"/>
  <sheetViews>
    <sheetView zoomScale="110" zoomScaleNormal="190" workbookViewId="0">
      <selection activeCell="B5" sqref="B5"/>
    </sheetView>
  </sheetViews>
  <sheetFormatPr defaultRowHeight="17.5" x14ac:dyDescent="0.45"/>
  <cols>
    <col min="1" max="3" width="28" customWidth="1"/>
  </cols>
  <sheetData>
    <row r="1" spans="1:3" ht="18" customHeight="1" x14ac:dyDescent="0.45">
      <c r="A1" s="1" t="s">
        <v>6</v>
      </c>
      <c r="B1" s="1" t="s">
        <v>5</v>
      </c>
      <c r="C1" s="1" t="s">
        <v>4</v>
      </c>
    </row>
    <row r="2" spans="1:3" ht="278.25" customHeight="1" x14ac:dyDescent="0.45"/>
    <row r="3" spans="1:3" ht="18" customHeight="1" x14ac:dyDescent="0.45">
      <c r="A3" s="1" t="s">
        <v>3</v>
      </c>
      <c r="B3" s="1" t="s">
        <v>2</v>
      </c>
      <c r="C3" s="1" t="s">
        <v>1</v>
      </c>
    </row>
    <row r="4" spans="1:3" ht="278.25" customHeight="1" x14ac:dyDescent="0.45"/>
    <row r="5" spans="1:3" ht="18" customHeight="1" x14ac:dyDescent="0.45">
      <c r="A5" s="1" t="s">
        <v>0</v>
      </c>
      <c r="B5" s="1"/>
      <c r="C5" s="1"/>
    </row>
    <row r="6" spans="1:3" ht="277.5" customHeight="1" x14ac:dyDescent="0.45"/>
    <row r="7" spans="1:3" ht="18" customHeight="1" x14ac:dyDescent="0.45">
      <c r="A7" s="1"/>
      <c r="B7" s="1"/>
      <c r="C7" s="1"/>
    </row>
    <row r="8" spans="1:3" ht="240" customHeight="1" x14ac:dyDescent="0.45"/>
    <row r="9" spans="1:3" ht="18" customHeight="1" x14ac:dyDescent="0.45">
      <c r="A9" s="1"/>
      <c r="B9" s="1"/>
      <c r="C9" s="43"/>
    </row>
    <row r="10" spans="1:3" ht="283.5" customHeight="1" x14ac:dyDescent="0.45"/>
    <row r="11" spans="1:3" x14ac:dyDescent="0.45">
      <c r="A11" s="43"/>
      <c r="B11" s="43"/>
      <c r="C11" s="43"/>
    </row>
  </sheetData>
  <phoneticPr fontId="3" type="noConversion"/>
  <pageMargins left="0.4" right="0.4" top="0.6" bottom="0.6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지출결의서</vt:lpstr>
      <vt:lpstr>영수증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선민 오</dc:creator>
  <cp:lastModifiedBy>선민 오</cp:lastModifiedBy>
  <dcterms:created xsi:type="dcterms:W3CDTF">2026-06-02T02:22:12Z</dcterms:created>
  <dcterms:modified xsi:type="dcterms:W3CDTF">2026-06-04T06:12:28Z</dcterms:modified>
</cp:coreProperties>
</file>